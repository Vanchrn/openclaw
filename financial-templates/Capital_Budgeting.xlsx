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Budg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CAPITAL BUDGETING ANALYSIS</t>
        </is>
      </c>
    </row>
    <row r="3">
      <c r="A3" s="2" t="inlineStr">
        <is>
          <t>PROJECT INFORMATION</t>
        </is>
      </c>
    </row>
    <row r="4">
      <c r="A4" t="inlineStr">
        <is>
          <t>Initial Investment:</t>
        </is>
      </c>
      <c r="C4" s="3" t="n">
        <v>-100000</v>
      </c>
    </row>
    <row r="5">
      <c r="A5" t="inlineStr">
        <is>
          <t>Discount Rate (WACC):</t>
        </is>
      </c>
      <c r="C5" s="4" t="n">
        <v>0.1</v>
      </c>
    </row>
    <row r="6">
      <c r="A6" t="inlineStr">
        <is>
          <t>Project Life (Years):</t>
        </is>
      </c>
      <c r="C6" t="n">
        <v>5</v>
      </c>
    </row>
    <row r="8">
      <c r="A8" s="2" t="inlineStr">
        <is>
          <t>CASH FLOW PROJECTIONS</t>
        </is>
      </c>
    </row>
    <row r="9">
      <c r="A9" s="5" t="inlineStr">
        <is>
          <t>Year</t>
        </is>
      </c>
      <c r="B9" s="5" t="inlineStr">
        <is>
          <t>Cash Flow</t>
        </is>
      </c>
      <c r="C9" s="5" t="inlineStr">
        <is>
          <t>PV Factor</t>
        </is>
      </c>
      <c r="D9" s="5" t="inlineStr">
        <is>
          <t>Present Value</t>
        </is>
      </c>
      <c r="E9" s="5" t="inlineStr">
        <is>
          <t>Cumulative PV</t>
        </is>
      </c>
    </row>
    <row r="10">
      <c r="A10" t="n">
        <v>0</v>
      </c>
      <c r="B10" s="3" t="n">
        <v>-100000</v>
      </c>
      <c r="C10" s="6" t="n">
        <v>1</v>
      </c>
      <c r="D10" s="3">
        <f>B10*C10</f>
        <v/>
      </c>
      <c r="E10" s="3">
        <f>D10</f>
        <v/>
      </c>
    </row>
    <row r="11">
      <c r="A11" t="n">
        <v>1</v>
      </c>
      <c r="B11" s="3" t="n">
        <v>30000</v>
      </c>
      <c r="C11" s="6">
        <f>1/POWER(1+$C$5,1)</f>
        <v/>
      </c>
      <c r="D11" s="3">
        <f>B11*C11</f>
        <v/>
      </c>
      <c r="E11" s="3">
        <f>E10+D11</f>
        <v/>
      </c>
    </row>
    <row r="12">
      <c r="A12" t="n">
        <v>2</v>
      </c>
      <c r="B12" s="3" t="n">
        <v>35000</v>
      </c>
      <c r="C12" s="6">
        <f>1/POWER(1+$C$5,2)</f>
        <v/>
      </c>
      <c r="D12" s="3">
        <f>B12*C12</f>
        <v/>
      </c>
      <c r="E12" s="3">
        <f>E11+D12</f>
        <v/>
      </c>
    </row>
    <row r="13">
      <c r="A13" t="n">
        <v>3</v>
      </c>
      <c r="B13" s="3" t="n">
        <v>40000</v>
      </c>
      <c r="C13" s="6">
        <f>1/POWER(1+$C$5,3)</f>
        <v/>
      </c>
      <c r="D13" s="3">
        <f>B13*C13</f>
        <v/>
      </c>
      <c r="E13" s="3">
        <f>E12+D13</f>
        <v/>
      </c>
    </row>
    <row r="14">
      <c r="A14" t="n">
        <v>4</v>
      </c>
      <c r="B14" s="3" t="n">
        <v>35000</v>
      </c>
      <c r="C14" s="6">
        <f>1/POWER(1+$C$5,4)</f>
        <v/>
      </c>
      <c r="D14" s="3">
        <f>B14*C14</f>
        <v/>
      </c>
      <c r="E14" s="3">
        <f>E13+D14</f>
        <v/>
      </c>
    </row>
    <row r="15">
      <c r="A15" t="n">
        <v>5</v>
      </c>
      <c r="B15" s="3" t="n">
        <v>30000</v>
      </c>
      <c r="C15" s="6">
        <f>1/POWER(1+$C$5,5)</f>
        <v/>
      </c>
      <c r="D15" s="3">
        <f>B15*C15</f>
        <v/>
      </c>
      <c r="E15" s="3">
        <f>E14+D15</f>
        <v/>
      </c>
    </row>
    <row r="17">
      <c r="A17" s="2" t="inlineStr">
        <is>
          <t>INVESTMENT METRICS</t>
        </is>
      </c>
    </row>
    <row r="18">
      <c r="A18" t="inlineStr">
        <is>
          <t>Net Present Value (NPV)</t>
        </is>
      </c>
      <c r="C18" s="3">
        <f>SUM(D8:D13)</f>
        <v/>
      </c>
    </row>
    <row r="19">
      <c r="A19" t="inlineStr">
        <is>
          <t>Internal Rate of Return (IRR)</t>
        </is>
      </c>
      <c r="C19" s="4">
        <f>IRR(B8:B13,0.1)</f>
        <v/>
      </c>
    </row>
    <row r="20">
      <c r="A20" t="inlineStr">
        <is>
          <t>Payback Period (Years)</t>
        </is>
      </c>
      <c r="C20" s="4">
        <f>MATCH(0,E8:E13,-1)</f>
        <v/>
      </c>
    </row>
    <row r="21">
      <c r="A21" t="inlineStr">
        <is>
          <t>Profitability Index</t>
        </is>
      </c>
      <c r="C21" s="4">
        <f>SUM(D9:D13)/ABS(D8)</f>
        <v/>
      </c>
    </row>
    <row r="23">
      <c r="A23" s="7" t="inlineStr">
        <is>
          <t>INVESTMENT DECISION:</t>
        </is>
      </c>
      <c r="C23" s="7">
        <f>IF(C15&gt;0,"ACCEPT","REJECT")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2026-02-21T08:59:00Z</dcterms:created>
  <dcterms:modified xmlns:dcterms="http://purl.org/dc/terms/" xmlns:xsi="http://www.w3.org/2001/XMLSchema-instance" xsi:type="dcterms:W3CDTF">2026-02-21T08:59:00Z</dcterms:modified>
</cp:coreProperties>
</file>