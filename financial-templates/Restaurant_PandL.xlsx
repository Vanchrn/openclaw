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  <col width="5" customWidth="1" min="4" max="4"/>
    <col width="15" customWidth="1" min="5" max="5"/>
  </cols>
  <sheetData>
    <row r="1">
      <c r="A1" s="1" t="inlineStr">
        <is>
          <t>RESTAURANT PROFIT AND LOSS</t>
        </is>
      </c>
    </row>
    <row r="3">
      <c r="A3" s="2" t="inlineStr">
        <is>
          <t>SALES</t>
        </is>
      </c>
    </row>
    <row r="4">
      <c r="A4" t="inlineStr">
        <is>
          <t>Food Sales</t>
        </is>
      </c>
      <c r="C4" s="3" t="n">
        <v>200000</v>
      </c>
    </row>
    <row r="5">
      <c r="A5" t="inlineStr">
        <is>
          <t>Beverage Sales</t>
        </is>
      </c>
      <c r="C5" s="3" t="n">
        <v>80000</v>
      </c>
    </row>
    <row r="6">
      <c r="A6" s="4" t="inlineStr">
        <is>
          <t>TOTAL SALES</t>
        </is>
      </c>
      <c r="C6" s="5" t="n">
        <v>280000</v>
      </c>
    </row>
    <row r="7">
      <c r="A7" s="2" t="inlineStr">
        <is>
          <t>COST OF GOODS SOLD</t>
        </is>
      </c>
    </row>
    <row r="8">
      <c r="A8" t="inlineStr">
        <is>
          <t>Food Cost</t>
        </is>
      </c>
      <c r="C8" s="3" t="n">
        <v>60000</v>
      </c>
    </row>
    <row r="9">
      <c r="A9" t="inlineStr">
        <is>
          <t>Beverage Cost</t>
        </is>
      </c>
      <c r="C9" s="3" t="n">
        <v>16000</v>
      </c>
    </row>
    <row r="10">
      <c r="A10" s="4" t="inlineStr">
        <is>
          <t>TOTAL COGS</t>
        </is>
      </c>
      <c r="C10" s="5" t="n">
        <v>76000</v>
      </c>
    </row>
    <row r="11">
      <c r="A11" s="4" t="inlineStr">
        <is>
          <t>GROSS PROFIT</t>
        </is>
      </c>
      <c r="C11" s="5">
        <f>C7-C10</f>
        <v/>
      </c>
      <c r="E11" s="6">
        <f>C11/C7</f>
        <v/>
      </c>
    </row>
    <row r="13">
      <c r="A13" s="2" t="inlineStr">
        <is>
          <t>OPERATING EXPENSES</t>
        </is>
      </c>
    </row>
    <row r="14">
      <c r="A14" t="inlineStr">
        <is>
          <t>Labor Costs</t>
        </is>
      </c>
      <c r="C14" s="3" t="n">
        <v>70000</v>
      </c>
    </row>
    <row r="15">
      <c r="A15" t="inlineStr">
        <is>
          <t>Rent</t>
        </is>
      </c>
      <c r="C15" s="3" t="n">
        <v>15000</v>
      </c>
    </row>
    <row r="16">
      <c r="A16" t="inlineStr">
        <is>
          <t>Utilities</t>
        </is>
      </c>
      <c r="C16" s="3" t="n">
        <v>5000</v>
      </c>
    </row>
    <row r="17">
      <c r="A17" t="inlineStr">
        <is>
          <t>Marketing</t>
        </is>
      </c>
      <c r="C17" s="3" t="n">
        <v>3000</v>
      </c>
    </row>
    <row r="18">
      <c r="A18" t="inlineStr">
        <is>
          <t>Supplies</t>
        </is>
      </c>
      <c r="C18" s="3" t="n">
        <v>4000</v>
      </c>
    </row>
    <row r="19">
      <c r="A19" t="inlineStr">
        <is>
          <t>Repairs &amp; Maintenance</t>
        </is>
      </c>
      <c r="C19" s="3" t="n">
        <v>2000</v>
      </c>
    </row>
    <row r="20">
      <c r="A20" t="inlineStr">
        <is>
          <t>Insurance</t>
        </is>
      </c>
      <c r="C20" s="3" t="n">
        <v>3000</v>
      </c>
    </row>
    <row r="21">
      <c r="A21" s="4" t="inlineStr">
        <is>
          <t>TOTAL OPERATING EXPENSES</t>
        </is>
      </c>
      <c r="C21" s="5" t="n">
        <v>102000</v>
      </c>
    </row>
    <row r="22">
      <c r="A22" s="4" t="inlineStr">
        <is>
          <t>OPERATING INCOME</t>
        </is>
      </c>
      <c r="C22" s="5">
        <f>C11-C19</f>
        <v/>
      </c>
    </row>
    <row r="24">
      <c r="A24" s="7" t="inlineStr">
        <is>
          <t>NET INCOME</t>
        </is>
      </c>
      <c r="C24" s="8">
        <f>C20</f>
        <v/>
      </c>
      <c r="E24" s="6">
        <f>C21/C7</f>
        <v/>
      </c>
    </row>
    <row r="26">
      <c r="A26" s="2" t="inlineStr">
        <is>
          <t>KEY RESTAURANT METRICS</t>
        </is>
      </c>
    </row>
    <row r="27">
      <c r="A27" t="inlineStr">
        <is>
          <t>Food Cost %</t>
        </is>
      </c>
      <c r="C27" s="6">
        <f>C8/C7</f>
        <v/>
      </c>
    </row>
    <row r="28">
      <c r="A28" t="inlineStr">
        <is>
          <t>Beverage Cost %</t>
        </is>
      </c>
      <c r="C28" s="6">
        <f>C9/C7</f>
        <v/>
      </c>
    </row>
    <row r="29">
      <c r="A29" t="inlineStr">
        <is>
          <t>Labor Cost %</t>
        </is>
      </c>
      <c r="C29" s="6">
        <f>C13/C7</f>
        <v/>
      </c>
    </row>
    <row r="30">
      <c r="A30" t="inlineStr">
        <is>
          <t>Prime Cost %</t>
        </is>
      </c>
      <c r="C30" s="6">
        <f>(C8+C9+C13)/C7</f>
        <v/>
      </c>
    </row>
    <row r="31">
      <c r="A31" t="inlineStr">
        <is>
          <t>Occupancy Cost %</t>
        </is>
      </c>
      <c r="C31" s="6">
        <f>(C14+C15)/C7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