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30" customWidth="1" min="7" max="7"/>
  </cols>
  <sheetData>
    <row r="1">
      <c r="A1" s="1" t="inlineStr">
        <is>
          <t>Account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  <c r="F1" s="1" t="inlineStr">
        <is>
          <t>Favorable/Unfavorable</t>
        </is>
      </c>
      <c r="G1" s="1" t="inlineStr">
        <is>
          <t>Notes</t>
        </is>
      </c>
    </row>
    <row r="2">
      <c r="A2" s="2" t="inlineStr">
        <is>
          <t>Revenue</t>
        </is>
      </c>
      <c r="B2" s="3" t="n">
        <v>100000</v>
      </c>
      <c r="C2" s="3" t="n">
        <v>105000</v>
      </c>
      <c r="D2" s="3">
        <f>C2-B2</f>
        <v/>
      </c>
      <c r="E2" s="4">
        <f>IF(B2&lt;&gt;0,(C2-B2)/B2,0)</f>
        <v/>
      </c>
      <c r="F2" s="2">
        <f>IF(A2="Revenue",IF(D2&gt;0,"Favorable","Unfavorable"),IF(D2&lt;0,"Favorable","Unfavorable"))</f>
        <v/>
      </c>
      <c r="G2" s="2" t="inlineStr"/>
    </row>
    <row r="3">
      <c r="A3" s="2" t="inlineStr">
        <is>
          <t>Cost of Goods Sold</t>
        </is>
      </c>
      <c r="B3" s="3" t="n">
        <v>40000</v>
      </c>
      <c r="C3" s="3" t="n">
        <v>38000</v>
      </c>
      <c r="D3" s="3">
        <f>C3-B3</f>
        <v/>
      </c>
      <c r="E3" s="4">
        <f>IF(B3&lt;&gt;0,(C3-B3)/B3,0)</f>
        <v/>
      </c>
      <c r="F3" s="2">
        <f>IF(A3="Revenue",IF(D3&gt;0,"Favorable","Unfavorable"),IF(D3&lt;0,"Favorable","Unfavorable"))</f>
        <v/>
      </c>
      <c r="G3" s="2" t="inlineStr"/>
    </row>
    <row r="4">
      <c r="A4" s="2" t="inlineStr">
        <is>
          <t>Salaries</t>
        </is>
      </c>
      <c r="B4" s="3" t="n">
        <v>25000</v>
      </c>
      <c r="C4" s="3" t="n">
        <v>26000</v>
      </c>
      <c r="D4" s="3">
        <f>C4-B4</f>
        <v/>
      </c>
      <c r="E4" s="4">
        <f>IF(B4&lt;&gt;0,(C4-B4)/B4,0)</f>
        <v/>
      </c>
      <c r="F4" s="2">
        <f>IF(A4="Revenue",IF(D4&gt;0,"Favorable","Unfavorable"),IF(D4&lt;0,"Favorable","Unfavorable"))</f>
        <v/>
      </c>
      <c r="G4" s="2" t="inlineStr"/>
    </row>
    <row r="5">
      <c r="A5" s="2" t="inlineStr">
        <is>
          <t>Rent</t>
        </is>
      </c>
      <c r="B5" s="3" t="n">
        <v>5000</v>
      </c>
      <c r="C5" s="3" t="n">
        <v>5000</v>
      </c>
      <c r="D5" s="3">
        <f>C5-B5</f>
        <v/>
      </c>
      <c r="E5" s="4">
        <f>IF(B5&lt;&gt;0,(C5-B5)/B5,0)</f>
        <v/>
      </c>
      <c r="F5" s="2">
        <f>IF(A5="Revenue",IF(D5&gt;0,"Favorable","Unfavorable"),IF(D5&lt;0,"Favorable","Unfavorable"))</f>
        <v/>
      </c>
      <c r="G5" s="2" t="inlineStr"/>
    </row>
    <row r="6">
      <c r="A6" s="2" t="inlineStr">
        <is>
          <t>Utilities</t>
        </is>
      </c>
      <c r="B6" s="3" t="n">
        <v>2000</v>
      </c>
      <c r="C6" s="3" t="n">
        <v>2500</v>
      </c>
      <c r="D6" s="3">
        <f>C6-B6</f>
        <v/>
      </c>
      <c r="E6" s="4">
        <f>IF(B6&lt;&gt;0,(C6-B6)/B6,0)</f>
        <v/>
      </c>
      <c r="F6" s="2">
        <f>IF(A6="Revenue",IF(D6&gt;0,"Favorable","Unfavorable"),IF(D6&lt;0,"Favorable","Unfavorable"))</f>
        <v/>
      </c>
      <c r="G6" s="2" t="inlineStr"/>
    </row>
    <row r="7">
      <c r="A7" s="2" t="inlineStr">
        <is>
          <t>Marketing</t>
        </is>
      </c>
      <c r="B7" s="3" t="n">
        <v>3000</v>
      </c>
      <c r="C7" s="3" t="n">
        <v>3500</v>
      </c>
      <c r="D7" s="3">
        <f>C7-B7</f>
        <v/>
      </c>
      <c r="E7" s="4">
        <f>IF(B7&lt;&gt;0,(C7-B7)/B7,0)</f>
        <v/>
      </c>
      <c r="F7" s="2">
        <f>IF(A7="Revenue",IF(D7&gt;0,"Favorable","Unfavorable"),IF(D7&lt;0,"Favorable","Unfavorable"))</f>
        <v/>
      </c>
      <c r="G7" s="2" t="inlineStr"/>
    </row>
    <row r="8">
      <c r="B8" s="5" t="n"/>
      <c r="C8" s="5" t="n"/>
      <c r="D8" s="5">
        <f>C8-B8</f>
        <v/>
      </c>
      <c r="E8" s="6">
        <f>IF(B8&lt;&gt;0,(C8-B8)/B8,0)</f>
        <v/>
      </c>
      <c r="F8">
        <f>IF(A8="Revenue",IF(D8&gt;0,"Favorable","Unfavorable"),IF(D8&lt;0,"Favorable","Unfavorable"))</f>
        <v/>
      </c>
    </row>
    <row r="9">
      <c r="B9" s="5" t="n"/>
      <c r="C9" s="5" t="n"/>
      <c r="D9" s="5">
        <f>C9-B9</f>
        <v/>
      </c>
      <c r="E9" s="6">
        <f>IF(B9&lt;&gt;0,(C9-B9)/B9,0)</f>
        <v/>
      </c>
      <c r="F9">
        <f>IF(A9="Revenue",IF(D9&gt;0,"Favorable","Unfavorable"),IF(D9&lt;0,"Favorable","Unfavorable"))</f>
        <v/>
      </c>
    </row>
    <row r="10">
      <c r="B10" s="5" t="n"/>
      <c r="C10" s="5" t="n"/>
      <c r="D10" s="5">
        <f>C10-B10</f>
        <v/>
      </c>
      <c r="E10" s="6">
        <f>IF(B10&lt;&gt;0,(C10-B10)/B10,0)</f>
        <v/>
      </c>
      <c r="F10">
        <f>IF(A10="Revenue",IF(D10&gt;0,"Favorable","Unfavorable"),IF(D10&lt;0,"Favorable","Unfavorable"))</f>
        <v/>
      </c>
    </row>
    <row r="11">
      <c r="B11" s="5" t="n"/>
      <c r="C11" s="5" t="n"/>
      <c r="D11" s="5">
        <f>C11-B11</f>
        <v/>
      </c>
      <c r="E11" s="6">
        <f>IF(B11&lt;&gt;0,(C11-B11)/B11,0)</f>
        <v/>
      </c>
      <c r="F11">
        <f>IF(A11="Revenue",IF(D11&gt;0,"Favorable","Unfavorable"),IF(D11&lt;0,"Favorable","Unfavorable"))</f>
        <v/>
      </c>
    </row>
    <row r="12">
      <c r="B12" s="5" t="n"/>
      <c r="C12" s="5" t="n"/>
      <c r="D12" s="5">
        <f>C12-B12</f>
        <v/>
      </c>
      <c r="E12" s="6">
        <f>IF(B12&lt;&gt;0,(C12-B12)/B12,0)</f>
        <v/>
      </c>
      <c r="F12">
        <f>IF(A12="Revenue",IF(D12&gt;0,"Favorable","Unfavorable"),IF(D12&lt;0,"Favorable","Unfavorable"))</f>
        <v/>
      </c>
    </row>
    <row r="13">
      <c r="B13" s="5" t="n"/>
      <c r="C13" s="5" t="n"/>
      <c r="D13" s="5">
        <f>C13-B13</f>
        <v/>
      </c>
      <c r="E13" s="6">
        <f>IF(B13&lt;&gt;0,(C13-B13)/B13,0)</f>
        <v/>
      </c>
      <c r="F13">
        <f>IF(A13="Revenue",IF(D13&gt;0,"Favorable","Unfavorable"),IF(D13&lt;0,"Favorable","Unfavorable"))</f>
        <v/>
      </c>
    </row>
    <row r="14">
      <c r="B14" s="5" t="n"/>
      <c r="C14" s="5" t="n"/>
      <c r="D14" s="5">
        <f>C14-B14</f>
        <v/>
      </c>
      <c r="E14" s="6">
        <f>IF(B14&lt;&gt;0,(C14-B14)/B14,0)</f>
        <v/>
      </c>
      <c r="F14">
        <f>IF(A14="Revenue",IF(D14&gt;0,"Favorable","Unfavorable"),IF(D14&lt;0,"Favorable","Unfavorable"))</f>
        <v/>
      </c>
    </row>
    <row r="15">
      <c r="B15" s="5" t="n"/>
      <c r="C15" s="5" t="n"/>
      <c r="D15" s="5">
        <f>C15-B15</f>
        <v/>
      </c>
      <c r="E15" s="6">
        <f>IF(B15&lt;&gt;0,(C15-B15)/B15,0)</f>
        <v/>
      </c>
      <c r="F15">
        <f>IF(A15="Revenue",IF(D15&gt;0,"Favorable","Unfavorable"),IF(D15&lt;0,"Favorable","Unfavorable"))</f>
        <v/>
      </c>
    </row>
    <row r="16">
      <c r="B16" s="5" t="n"/>
      <c r="C16" s="5" t="n"/>
      <c r="D16" s="5">
        <f>C16-B16</f>
        <v/>
      </c>
      <c r="E16" s="6">
        <f>IF(B16&lt;&gt;0,(C16-B16)/B16,0)</f>
        <v/>
      </c>
      <c r="F16">
        <f>IF(A16="Revenue",IF(D16&gt;0,"Favorable","Unfavorable"),IF(D16&lt;0,"Favorable","Unfavorable"))</f>
        <v/>
      </c>
    </row>
    <row r="17">
      <c r="B17" s="5" t="n"/>
      <c r="C17" s="5" t="n"/>
      <c r="D17" s="5">
        <f>C17-B17</f>
        <v/>
      </c>
      <c r="E17" s="6">
        <f>IF(B17&lt;&gt;0,(C17-B17)/B17,0)</f>
        <v/>
      </c>
      <c r="F17">
        <f>IF(A17="Revenue",IF(D17&gt;0,"Favorable","Unfavorable"),IF(D17&lt;0,"Favorable","Unfavorable"))</f>
        <v/>
      </c>
    </row>
    <row r="18">
      <c r="B18" s="5" t="n"/>
      <c r="C18" s="5" t="n"/>
      <c r="D18" s="5">
        <f>C18-B18</f>
        <v/>
      </c>
      <c r="E18" s="6">
        <f>IF(B18&lt;&gt;0,(C18-B18)/B18,0)</f>
        <v/>
      </c>
      <c r="F18">
        <f>IF(A18="Revenue",IF(D18&gt;0,"Favorable","Unfavorable"),IF(D18&lt;0,"Favorable","Unfavorable"))</f>
        <v/>
      </c>
    </row>
    <row r="19">
      <c r="B19" s="5" t="n"/>
      <c r="C19" s="5" t="n"/>
      <c r="D19" s="5">
        <f>C19-B19</f>
        <v/>
      </c>
      <c r="E19" s="6">
        <f>IF(B19&lt;&gt;0,(C19-B19)/B19,0)</f>
        <v/>
      </c>
      <c r="F19">
        <f>IF(A19="Revenue",IF(D19&gt;0,"Favorable","Unfavorable"),IF(D19&lt;0,"Favorable","Unfavorable"))</f>
        <v/>
      </c>
    </row>
    <row r="20">
      <c r="B20" s="5" t="n"/>
      <c r="C20" s="5" t="n"/>
      <c r="D20" s="5">
        <f>C20-B20</f>
        <v/>
      </c>
      <c r="E20" s="6">
        <f>IF(B20&lt;&gt;0,(C20-B20)/B20,0)</f>
        <v/>
      </c>
      <c r="F20">
        <f>IF(A20="Revenue",IF(D20&gt;0,"Favorable","Unfavorable"),IF(D20&lt;0,"Favorable","Unfavorable"))</f>
        <v/>
      </c>
    </row>
    <row r="21">
      <c r="B21" s="5" t="n"/>
      <c r="C21" s="5" t="n"/>
      <c r="D21" s="5">
        <f>C21-B21</f>
        <v/>
      </c>
      <c r="E21" s="6">
        <f>IF(B21&lt;&gt;0,(C21-B21)/B21,0)</f>
        <v/>
      </c>
      <c r="F21">
        <f>IF(A21="Revenue",IF(D21&gt;0,"Favorable","Unfavorable"),IF(D21&lt;0,"Favorable","Unfavorable"))</f>
        <v/>
      </c>
    </row>
    <row r="22">
      <c r="B22" s="5" t="n"/>
      <c r="C22" s="5" t="n"/>
      <c r="D22" s="5">
        <f>C22-B22</f>
        <v/>
      </c>
      <c r="E22" s="6">
        <f>IF(B22&lt;&gt;0,(C22-B22)/B22,0)</f>
        <v/>
      </c>
      <c r="F22">
        <f>IF(A22="Revenue",IF(D22&gt;0,"Favorable","Unfavorable"),IF(D22&lt;0,"Favorable","Unfavorable"))</f>
        <v/>
      </c>
    </row>
    <row r="23">
      <c r="B23" s="5" t="n"/>
      <c r="C23" s="5" t="n"/>
      <c r="D23" s="5">
        <f>C23-B23</f>
        <v/>
      </c>
      <c r="E23" s="6">
        <f>IF(B23&lt;&gt;0,(C23-B23)/B23,0)</f>
        <v/>
      </c>
      <c r="F23">
        <f>IF(A23="Revenue",IF(D23&gt;0,"Favorable","Unfavorable"),IF(D23&lt;0,"Favorable","Unfavorable"))</f>
        <v/>
      </c>
    </row>
    <row r="24">
      <c r="B24" s="5" t="n"/>
      <c r="C24" s="5" t="n"/>
      <c r="D24" s="5">
        <f>C24-B24</f>
        <v/>
      </c>
      <c r="E24" s="6">
        <f>IF(B24&lt;&gt;0,(C24-B24)/B24,0)</f>
        <v/>
      </c>
      <c r="F24">
        <f>IF(A24="Revenue",IF(D24&gt;0,"Favorable","Unfavorable"),IF(D24&lt;0,"Favorable","Unfavorable"))</f>
        <v/>
      </c>
    </row>
    <row r="25">
      <c r="B25" s="5" t="n"/>
      <c r="C25" s="5" t="n"/>
      <c r="D25" s="5">
        <f>C25-B25</f>
        <v/>
      </c>
      <c r="E25" s="6">
        <f>IF(B25&lt;&gt;0,(C25-B25)/B25,0)</f>
        <v/>
      </c>
      <c r="F25">
        <f>IF(A25="Revenue",IF(D25&gt;0,"Favorable","Unfavorable"),IF(D25&lt;0,"Favorable","Unfavorable"))</f>
        <v/>
      </c>
    </row>
    <row r="26">
      <c r="B26" s="5" t="n"/>
      <c r="C26" s="5" t="n"/>
      <c r="D26" s="5">
        <f>C26-B26</f>
        <v/>
      </c>
      <c r="E26" s="6">
        <f>IF(B26&lt;&gt;0,(C26-B26)/B26,0)</f>
        <v/>
      </c>
      <c r="F26">
        <f>IF(A26="Revenue",IF(D26&gt;0,"Favorable","Unfavorable"),IF(D26&lt;0,"Favorable","Unfavorable"))</f>
        <v/>
      </c>
    </row>
    <row r="27">
      <c r="B27" s="5" t="n"/>
      <c r="C27" s="5" t="n"/>
      <c r="D27" s="5">
        <f>C27-B27</f>
        <v/>
      </c>
      <c r="E27" s="6">
        <f>IF(B27&lt;&gt;0,(C27-B27)/B27,0)</f>
        <v/>
      </c>
      <c r="F27">
        <f>IF(A27="Revenue",IF(D27&gt;0,"Favorable","Unfavorable"),IF(D27&lt;0,"Favorable","Unfavorable"))</f>
        <v/>
      </c>
    </row>
    <row r="28">
      <c r="B28" s="5" t="n"/>
      <c r="C28" s="5" t="n"/>
      <c r="D28" s="5">
        <f>C28-B28</f>
        <v/>
      </c>
      <c r="E28" s="6">
        <f>IF(B28&lt;&gt;0,(C28-B28)/B28,0)</f>
        <v/>
      </c>
      <c r="F28">
        <f>IF(A28="Revenue",IF(D28&gt;0,"Favorable","Unfavorable"),IF(D28&lt;0,"Favorable","Unfavorable"))</f>
        <v/>
      </c>
    </row>
    <row r="29">
      <c r="B29" s="5" t="n"/>
      <c r="C29" s="5" t="n"/>
      <c r="D29" s="5">
        <f>C29-B29</f>
        <v/>
      </c>
      <c r="E29" s="6">
        <f>IF(B29&lt;&gt;0,(C29-B29)/B29,0)</f>
        <v/>
      </c>
      <c r="F29">
        <f>IF(A29="Revenue",IF(D29&gt;0,"Favorable","Unfavorable"),IF(D29&lt;0,"Favorable","Unfavorable"))</f>
        <v/>
      </c>
    </row>
    <row r="30">
      <c r="B30" s="5" t="n"/>
      <c r="C30" s="5" t="n"/>
      <c r="D30" s="5">
        <f>C30-B30</f>
        <v/>
      </c>
      <c r="E30" s="6">
        <f>IF(B30&lt;&gt;0,(C30-B30)/B30,0)</f>
        <v/>
      </c>
      <c r="F30">
        <f>IF(A30="Revenue",IF(D30&gt;0,"Favorable","Unfavorable"),IF(D30&lt;0,"Favorable","Unfavorable"))</f>
        <v/>
      </c>
    </row>
    <row r="31">
      <c r="B31" s="5" t="n"/>
      <c r="C31" s="5" t="n"/>
      <c r="D31" s="5">
        <f>C31-B31</f>
        <v/>
      </c>
      <c r="E31" s="6">
        <f>IF(B31&lt;&gt;0,(C31-B31)/B31,0)</f>
        <v/>
      </c>
      <c r="F31">
        <f>IF(A31="Revenue",IF(D31&gt;0,"Favorable","Unfavorable"),IF(D31&lt;0,"Favorable","Unfavorable"))</f>
        <v/>
      </c>
    </row>
    <row r="32">
      <c r="B32" s="5" t="n"/>
      <c r="C32" s="5" t="n"/>
      <c r="D32" s="5">
        <f>C32-B32</f>
        <v/>
      </c>
      <c r="E32" s="6">
        <f>IF(B32&lt;&gt;0,(C32-B32)/B32,0)</f>
        <v/>
      </c>
      <c r="F32">
        <f>IF(A32="Revenue",IF(D32&gt;0,"Favorable","Unfavorable"),IF(D32&lt;0,"Favorable","Unfavorable"))</f>
        <v/>
      </c>
    </row>
    <row r="33">
      <c r="B33" s="5" t="n"/>
      <c r="C33" s="5" t="n"/>
      <c r="D33" s="5">
        <f>C33-B33</f>
        <v/>
      </c>
      <c r="E33" s="6">
        <f>IF(B33&lt;&gt;0,(C33-B33)/B33,0)</f>
        <v/>
      </c>
      <c r="F33">
        <f>IF(A33="Revenue",IF(D33&gt;0,"Favorable","Unfavorable"),IF(D33&lt;0,"Favorable","Unfavorable"))</f>
        <v/>
      </c>
    </row>
    <row r="34">
      <c r="B34" s="5" t="n"/>
      <c r="C34" s="5" t="n"/>
      <c r="D34" s="5">
        <f>C34-B34</f>
        <v/>
      </c>
      <c r="E34" s="6">
        <f>IF(B34&lt;&gt;0,(C34-B34)/B34,0)</f>
        <v/>
      </c>
      <c r="F34">
        <f>IF(A34="Revenue",IF(D34&gt;0,"Favorable","Unfavorable"),IF(D34&lt;0,"Favorable","Unfavorable"))</f>
        <v/>
      </c>
    </row>
    <row r="35">
      <c r="B35" s="5" t="n"/>
      <c r="C35" s="5" t="n"/>
      <c r="D35" s="5">
        <f>C35-B35</f>
        <v/>
      </c>
      <c r="E35" s="6">
        <f>IF(B35&lt;&gt;0,(C35-B35)/B35,0)</f>
        <v/>
      </c>
      <c r="F35">
        <f>IF(A35="Revenue",IF(D35&gt;0,"Favorable","Unfavorable"),IF(D35&lt;0,"Favorable","Unfavorable"))</f>
        <v/>
      </c>
    </row>
    <row r="36">
      <c r="B36" s="5" t="n"/>
      <c r="C36" s="5" t="n"/>
      <c r="D36" s="5">
        <f>C36-B36</f>
        <v/>
      </c>
      <c r="E36" s="6">
        <f>IF(B36&lt;&gt;0,(C36-B36)/B36,0)</f>
        <v/>
      </c>
      <c r="F36">
        <f>IF(A36="Revenue",IF(D36&gt;0,"Favorable","Unfavorable"),IF(D36&lt;0,"Favorable","Unfavorable"))</f>
        <v/>
      </c>
    </row>
    <row r="37">
      <c r="B37" s="5" t="n"/>
      <c r="C37" s="5" t="n"/>
      <c r="D37" s="5">
        <f>C37-B37</f>
        <v/>
      </c>
      <c r="E37" s="6">
        <f>IF(B37&lt;&gt;0,(C37-B37)/B37,0)</f>
        <v/>
      </c>
      <c r="F37">
        <f>IF(A37="Revenue",IF(D37&gt;0,"Favorable","Unfavorable"),IF(D37&lt;0,"Favorable","Unfavorable"))</f>
        <v/>
      </c>
    </row>
    <row r="38">
      <c r="B38" s="5" t="n"/>
      <c r="C38" s="5" t="n"/>
      <c r="D38" s="5">
        <f>C38-B38</f>
        <v/>
      </c>
      <c r="E38" s="6">
        <f>IF(B38&lt;&gt;0,(C38-B38)/B38,0)</f>
        <v/>
      </c>
      <c r="F38">
        <f>IF(A38="Revenue",IF(D38&gt;0,"Favorable","Unfavorable"),IF(D38&lt;0,"Favorable","Unfavorable"))</f>
        <v/>
      </c>
    </row>
    <row r="39">
      <c r="B39" s="5" t="n"/>
      <c r="C39" s="5" t="n"/>
      <c r="D39" s="5">
        <f>C39-B39</f>
        <v/>
      </c>
      <c r="E39" s="6">
        <f>IF(B39&lt;&gt;0,(C39-B39)/B39,0)</f>
        <v/>
      </c>
      <c r="F39">
        <f>IF(A39="Revenue",IF(D39&gt;0,"Favorable","Unfavorable"),IF(D39&lt;0,"Favorable","Unfavorable"))</f>
        <v/>
      </c>
    </row>
    <row r="40">
      <c r="B40" s="5" t="n"/>
      <c r="C40" s="5" t="n"/>
      <c r="D40" s="5">
        <f>C40-B40</f>
        <v/>
      </c>
      <c r="E40" s="6">
        <f>IF(B40&lt;&gt;0,(C40-B40)/B40,0)</f>
        <v/>
      </c>
      <c r="F40">
        <f>IF(A40="Revenue",IF(D40&gt;0,"Favorable","Unfavorable"),IF(D40&lt;0,"Favorable","Unfavorable"))</f>
        <v/>
      </c>
    </row>
    <row r="41">
      <c r="B41" s="5" t="n"/>
      <c r="C41" s="5" t="n"/>
      <c r="D41" s="5">
        <f>C41-B41</f>
        <v/>
      </c>
      <c r="E41" s="6">
        <f>IF(B41&lt;&gt;0,(C41-B41)/B41,0)</f>
        <v/>
      </c>
      <c r="F41">
        <f>IF(A41="Revenue",IF(D41&gt;0,"Favorable","Unfavorable"),IF(D41&lt;0,"Favorable","Unfavorable"))</f>
        <v/>
      </c>
    </row>
    <row r="42">
      <c r="B42" s="5" t="n"/>
      <c r="C42" s="5" t="n"/>
      <c r="D42" s="5">
        <f>C42-B42</f>
        <v/>
      </c>
      <c r="E42" s="6">
        <f>IF(B42&lt;&gt;0,(C42-B42)/B42,0)</f>
        <v/>
      </c>
      <c r="F42">
        <f>IF(A42="Revenue",IF(D42&gt;0,"Favorable","Unfavorable"),IF(D42&lt;0,"Favorable","Unfavorable"))</f>
        <v/>
      </c>
    </row>
    <row r="43">
      <c r="B43" s="5" t="n"/>
      <c r="C43" s="5" t="n"/>
      <c r="D43" s="5">
        <f>C43-B43</f>
        <v/>
      </c>
      <c r="E43" s="6">
        <f>IF(B43&lt;&gt;0,(C43-B43)/B43,0)</f>
        <v/>
      </c>
      <c r="F43">
        <f>IF(A43="Revenue",IF(D43&gt;0,"Favorable","Unfavorable"),IF(D43&lt;0,"Favorable","Unfavorable"))</f>
        <v/>
      </c>
    </row>
    <row r="44">
      <c r="B44" s="5" t="n"/>
      <c r="C44" s="5" t="n"/>
      <c r="D44" s="5">
        <f>C44-B44</f>
        <v/>
      </c>
      <c r="E44" s="6">
        <f>IF(B44&lt;&gt;0,(C44-B44)/B44,0)</f>
        <v/>
      </c>
      <c r="F44">
        <f>IF(A44="Revenue",IF(D44&gt;0,"Favorable","Unfavorable"),IF(D44&lt;0,"Favorable","Unfavorable"))</f>
        <v/>
      </c>
    </row>
    <row r="45">
      <c r="B45" s="5" t="n"/>
      <c r="C45" s="5" t="n"/>
      <c r="D45" s="5">
        <f>C45-B45</f>
        <v/>
      </c>
      <c r="E45" s="6">
        <f>IF(B45&lt;&gt;0,(C45-B45)/B45,0)</f>
        <v/>
      </c>
      <c r="F45">
        <f>IF(A45="Revenue",IF(D45&gt;0,"Favorable","Unfavorable"),IF(D45&lt;0,"Favorable","Unfavorable"))</f>
        <v/>
      </c>
    </row>
    <row r="46">
      <c r="B46" s="5" t="n"/>
      <c r="C46" s="5" t="n"/>
      <c r="D46" s="5">
        <f>C46-B46</f>
        <v/>
      </c>
      <c r="E46" s="6">
        <f>IF(B46&lt;&gt;0,(C46-B46)/B46,0)</f>
        <v/>
      </c>
      <c r="F46">
        <f>IF(A46="Revenue",IF(D46&gt;0,"Favorable","Unfavorable"),IF(D46&lt;0,"Favorable","Unfavorable"))</f>
        <v/>
      </c>
    </row>
    <row r="47">
      <c r="B47" s="5" t="n"/>
      <c r="C47" s="5" t="n"/>
      <c r="D47" s="5">
        <f>C47-B47</f>
        <v/>
      </c>
      <c r="E47" s="6">
        <f>IF(B47&lt;&gt;0,(C47-B47)/B47,0)</f>
        <v/>
      </c>
      <c r="F47">
        <f>IF(A47="Revenue",IF(D47&gt;0,"Favorable","Unfavorable"),IF(D47&lt;0,"Favorable","Unfavorable"))</f>
        <v/>
      </c>
    </row>
    <row r="48">
      <c r="B48" s="5" t="n"/>
      <c r="C48" s="5" t="n"/>
      <c r="D48" s="5">
        <f>C48-B48</f>
        <v/>
      </c>
      <c r="E48" s="6">
        <f>IF(B48&lt;&gt;0,(C48-B48)/B48,0)</f>
        <v/>
      </c>
      <c r="F48">
        <f>IF(A48="Revenue",IF(D48&gt;0,"Favorable","Unfavorable"),IF(D48&lt;0,"Favorable","Unfavorable"))</f>
        <v/>
      </c>
    </row>
    <row r="49">
      <c r="B49" s="5" t="n"/>
      <c r="C49" s="5" t="n"/>
      <c r="D49" s="5">
        <f>C49-B49</f>
        <v/>
      </c>
      <c r="E49" s="6">
        <f>IF(B49&lt;&gt;0,(C49-B49)/B49,0)</f>
        <v/>
      </c>
      <c r="F49">
        <f>IF(A49="Revenue",IF(D49&gt;0,"Favorable","Unfavorable"),IF(D49&lt;0,"Favorable","Unfavorable"))</f>
        <v/>
      </c>
    </row>
    <row r="52">
      <c r="F52" s="7" t="inlineStr">
        <is>
          <t>VARIANCE SUMMARY</t>
        </is>
      </c>
    </row>
    <row r="53">
      <c r="A53" t="inlineStr">
        <is>
          <t>Total Budget:</t>
        </is>
      </c>
      <c r="C53" s="5">
        <f>SUM(B2:B50)</f>
        <v/>
      </c>
    </row>
    <row r="54">
      <c r="A54" t="inlineStr">
        <is>
          <t>Total Actual:</t>
        </is>
      </c>
      <c r="C54" s="5">
        <f>SUM(C2:C50)</f>
        <v/>
      </c>
    </row>
    <row r="55">
      <c r="A55" t="inlineStr">
        <is>
          <t>Total Variance:</t>
        </is>
      </c>
      <c r="C55" s="5">
        <f>SUM(D2:D50)</f>
        <v/>
      </c>
    </row>
    <row r="56">
      <c r="A56" t="inlineStr">
        <is>
          <t>Net Income Variance:</t>
        </is>
      </c>
      <c r="C56" s="5">
        <f>D2-SUM(D3:D50)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