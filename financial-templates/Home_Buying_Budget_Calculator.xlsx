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Buying Budge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Buying Budget Calculator</t>
        </is>
      </c>
    </row>
    <row r="3">
      <c r="A3" s="2" t="inlineStr">
        <is>
          <t>INPUTS</t>
        </is>
      </c>
    </row>
    <row r="4">
      <c r="A4" t="inlineStr">
        <is>
          <t>Monthly Income</t>
        </is>
      </c>
      <c r="B4" s="3" t="n">
        <v>8000</v>
      </c>
    </row>
    <row r="5">
      <c r="A5" t="inlineStr">
        <is>
          <t>Down Payment</t>
        </is>
      </c>
      <c r="B5" s="3" t="n">
        <v>60000</v>
      </c>
    </row>
    <row r="6">
      <c r="A6" t="inlineStr">
        <is>
          <t>Home Price</t>
        </is>
      </c>
      <c r="B6" s="3" t="n">
        <v>400000</v>
      </c>
    </row>
    <row r="7">
      <c r="A7" t="inlineStr">
        <is>
          <t>Closing Costs</t>
        </is>
      </c>
      <c r="B7" s="3" t="n">
        <v>12000</v>
      </c>
    </row>
    <row r="8">
      <c r="A8" t="inlineStr">
        <is>
          <t>Monthly Expenses</t>
        </is>
      </c>
      <c r="B8" s="3" t="n">
        <v>2000</v>
      </c>
    </row>
    <row r="10">
      <c r="A10" s="2" t="inlineStr">
        <is>
          <t>OUTPUTS</t>
        </is>
      </c>
    </row>
    <row r="11">
      <c r="A11" t="inlineStr">
        <is>
          <t>Maximum Mortgage</t>
        </is>
      </c>
      <c r="B11">
        <f>B1*0.28*12</f>
        <v/>
      </c>
    </row>
    <row r="12">
      <c r="A12" t="inlineStr">
        <is>
          <t>Affordable Home Price</t>
        </is>
      </c>
      <c r="B12">
        <f>B2+B6</f>
        <v/>
      </c>
    </row>
    <row r="13">
      <c r="A13" t="inlineStr">
        <is>
          <t>Monthly Payment</t>
        </is>
      </c>
      <c r="B13">
        <f>PMT(0.045/12,360,-(B3-B2))</f>
        <v/>
      </c>
    </row>
    <row r="14">
      <c r="A14" t="inlineStr">
        <is>
          <t>Affordable?</t>
        </is>
      </c>
      <c r="B14">
        <f>IF(B7&lt;=B1*0.28,"Yes","No")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